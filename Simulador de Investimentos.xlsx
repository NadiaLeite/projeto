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ff20d328c75b76/Desktop/3.CONTROLE CC/"/>
    </mc:Choice>
  </mc:AlternateContent>
  <xr:revisionPtr revIDLastSave="478" documentId="8_{25237E94-C061-41B6-A5A9-C275377610B1}" xr6:coauthVersionLast="47" xr6:coauthVersionMax="47" xr10:uidLastSave="{48DC5B79-B819-4170-B71A-844ED2EC4FB4}"/>
  <bookViews>
    <workbookView xWindow="-108" yWindow="-108" windowWidth="23256" windowHeight="12456" tabRatio="257" xr2:uid="{D0FD2FE0-C81B-405D-BFB6-C9C96BCAC07D}"/>
  </bookViews>
  <sheets>
    <sheet name="Simulador" sheetId="1" r:id="rId1"/>
    <sheet name="Viver de Renda" sheetId="3" r:id="rId2"/>
    <sheet name="Apoio" sheetId="2" r:id="rId3"/>
  </sheets>
  <definedNames>
    <definedName name="ano_dica">'Viver de Renda'!$E$21</definedName>
    <definedName name="aporte">Simulador!$E$9</definedName>
    <definedName name="aporte_dica">'Viver de Renda'!$E$20</definedName>
    <definedName name="dividendo_dica">'Viver de Renda'!$E$24</definedName>
    <definedName name="gastos_fixos">'Viver de Renda'!$E$7</definedName>
    <definedName name="lazer">'Viver de Renda'!$E$8</definedName>
    <definedName name="montante">'Viver de Renda'!$E$4</definedName>
    <definedName name="patrimonio">Simulador!$E$12</definedName>
    <definedName name="patrimonio_dica">'Viver de Renda'!$E$23</definedName>
    <definedName name="qtd_ano">Simulador!$E$10</definedName>
    <definedName name="rendimento_carteira">Simulador!$E$5</definedName>
    <definedName name="rendimento_carteira2">'Viver de Renda'!$E$9</definedName>
    <definedName name="reserva_emergencia">'Viver de Renda'!$E$6</definedName>
    <definedName name="salario">Simulador!$E$4</definedName>
    <definedName name="salario_mensal">'Viver de Renda'!$E$12</definedName>
    <definedName name="sugestao_investimento">Simulador!$E$6</definedName>
    <definedName name="taxa_dica">'Viver de Renda'!$E$22</definedName>
    <definedName name="taxa_mensal">Simulador!$E$11</definedName>
    <definedName name="valor_investimento">'Viver de Renda'!$E$5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E17" i="3"/>
  <c r="E16" i="3"/>
  <c r="E15" i="3"/>
  <c r="E14" i="3"/>
  <c r="E20" i="3" s="1"/>
  <c r="E23" i="3" s="1"/>
  <c r="E13" i="3"/>
  <c r="D30" i="1"/>
  <c r="D29" i="1"/>
  <c r="D28" i="1"/>
  <c r="D27" i="1"/>
  <c r="D26" i="1"/>
  <c r="A20" i="2"/>
  <c r="A19" i="2"/>
  <c r="A18" i="2"/>
  <c r="A17" i="2"/>
  <c r="A16" i="2"/>
  <c r="A15" i="2"/>
  <c r="A14" i="2"/>
  <c r="D31" i="1" s="1"/>
  <c r="A13" i="2"/>
  <c r="A12" i="2"/>
  <c r="A11" i="2"/>
  <c r="A10" i="2"/>
  <c r="A9" i="2"/>
  <c r="A8" i="2"/>
  <c r="A7" i="2"/>
  <c r="A6" i="2"/>
  <c r="A5" i="2"/>
  <c r="A4" i="2"/>
  <c r="A3" i="2"/>
  <c r="D23" i="1"/>
  <c r="D17" i="1"/>
  <c r="E17" i="1" s="1"/>
  <c r="D18" i="1"/>
  <c r="E18" i="1" s="1"/>
  <c r="D19" i="1"/>
  <c r="E19" i="1" s="1"/>
  <c r="D20" i="1"/>
  <c r="E20" i="1" s="1"/>
  <c r="D16" i="1"/>
  <c r="E16" i="1" s="1"/>
  <c r="E12" i="1"/>
  <c r="E13" i="1" s="1"/>
  <c r="E6" i="1"/>
  <c r="D28" i="3" l="1"/>
  <c r="E28" i="3" s="1"/>
  <c r="D27" i="3"/>
  <c r="E27" i="3" s="1"/>
  <c r="D29" i="3"/>
  <c r="E29" i="3" s="1"/>
  <c r="D30" i="3"/>
  <c r="E30" i="3" s="1"/>
  <c r="D31" i="3"/>
  <c r="E31" i="3" s="1"/>
  <c r="E31" i="1"/>
  <c r="E27" i="1"/>
  <c r="E28" i="1"/>
  <c r="E29" i="1"/>
  <c r="E26" i="1"/>
  <c r="E30" i="1"/>
  <c r="E32" i="1" l="1"/>
</calcChain>
</file>

<file path=xl/sharedStrings.xml><?xml version="1.0" encoding="utf-8"?>
<sst xmlns="http://schemas.openxmlformats.org/spreadsheetml/2006/main" count="96" uniqueCount="48">
  <si>
    <t>Quanto investir por mês?</t>
  </si>
  <si>
    <t>Por quantos anos?</t>
  </si>
  <si>
    <t>Taxa de rendimento mensal?</t>
  </si>
  <si>
    <t>INVESTIMENTO MENSAL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</si>
  <si>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</si>
  <si>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</si>
  <si>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</si>
  <si>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</si>
  <si>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</si>
  <si>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</si>
  <si>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</si>
  <si>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</si>
  <si>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</si>
  <si>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Salário</t>
  </si>
  <si>
    <t>Rendimento Carteira</t>
  </si>
  <si>
    <t>CONFIGURAÇÕES</t>
  </si>
  <si>
    <t>PERFIL</t>
  </si>
  <si>
    <t>Conservador</t>
  </si>
  <si>
    <t>Valor a ser investido por mês</t>
  </si>
  <si>
    <t>TIPO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</si>
  <si>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</si>
  <si>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</si>
  <si>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</si>
  <si>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</si>
  <si>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</si>
  <si>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</si>
  <si>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</si>
  <si>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</t>
  </si>
  <si>
    <t>CONSERVADOR</t>
  </si>
  <si>
    <t>MODERADO</t>
  </si>
  <si>
    <t>CHAVE</t>
  </si>
  <si>
    <t>PERCENTUAL</t>
  </si>
  <si>
    <t>AGRESSIVO</t>
  </si>
  <si>
    <t>Sugestão de Investimento - 30%</t>
  </si>
  <si>
    <t>Montante de acordo com seu salário para viver de renda, multiplique seu salário por:</t>
  </si>
  <si>
    <t>Valor Ideal  invertir mensal para chegar ao montante, multiplique seu salário por:</t>
  </si>
  <si>
    <t>Valor necessário para reserva de emergência, multiplique seu salário por:</t>
  </si>
  <si>
    <t>Valor máximo para gastar com lazer, multiplique seu salário por:</t>
  </si>
  <si>
    <t>Valor para gastos fixo, multiplique seu salário por:</t>
  </si>
  <si>
    <t>RESULTADOS</t>
  </si>
  <si>
    <t>Salário?</t>
  </si>
  <si>
    <t>Gastos Fixos</t>
  </si>
  <si>
    <t>Montante para Viver de Renda</t>
  </si>
  <si>
    <t>Reserva de Emergância</t>
  </si>
  <si>
    <t>Valor Máximo com Lazer</t>
  </si>
  <si>
    <t>Sugestão de Investimento</t>
  </si>
  <si>
    <t>Rendimento da Carteira</t>
  </si>
  <si>
    <t>CONFIGURAÇÕES - O QUE FAZER?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</si>
</sst>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Segoe UI Black"/>
      <family val="2"/>
    </font>
    <font>
      <b/>
      <sz val="14"/>
      <color theme="1"/>
      <name val="Segoe UI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28466B"/>
        <bgColor indexed="64"/>
      </patternFill>
    </fill>
    <fill>
      <patternFill patternType="solid">
        <fgColor rgb="FF699793"/>
        <bgColor indexed="64"/>
      </patternFill>
    </fill>
    <fill>
      <patternFill patternType="solid">
        <fgColor rgb="FF44518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ck">
        <color rgb="FF44518A"/>
      </left>
      <right style="thin">
        <color theme="0" tint="-0.14996795556505021"/>
      </right>
      <top style="thick">
        <color rgb="FF44518A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ck">
        <color rgb="FF44518A"/>
      </top>
      <bottom style="thin">
        <color theme="0" tint="-0.14996795556505021"/>
      </bottom>
      <diagonal/>
    </border>
    <border>
      <left/>
      <right style="thick">
        <color rgb="FF44518A"/>
      </right>
      <top style="thick">
        <color rgb="FF44518A"/>
      </top>
      <bottom/>
      <diagonal/>
    </border>
    <border>
      <left style="thick">
        <color rgb="FF44518A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rgb="FF44518A"/>
      </right>
      <top/>
      <bottom style="thin">
        <color theme="0" tint="-0.14996795556505021"/>
      </bottom>
      <diagonal/>
    </border>
    <border>
      <left/>
      <right style="thick">
        <color rgb="FF44518A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44518A"/>
      </left>
      <right/>
      <top style="thin">
        <color theme="0" tint="-0.14996795556505021"/>
      </top>
      <bottom style="thick">
        <color rgb="FF44518A"/>
      </bottom>
      <diagonal/>
    </border>
    <border>
      <left/>
      <right/>
      <top style="thin">
        <color theme="0" tint="-0.14996795556505021"/>
      </top>
      <bottom style="thick">
        <color rgb="FF44518A"/>
      </bottom>
      <diagonal/>
    </border>
    <border>
      <left/>
      <right style="thick">
        <color rgb="FF44518A"/>
      </right>
      <top style="thin">
        <color theme="0" tint="-0.14996795556505021"/>
      </top>
      <bottom style="thick">
        <color rgb="FF44518A"/>
      </bottom>
      <diagonal/>
    </border>
    <border>
      <left/>
      <right/>
      <top style="thick">
        <color rgb="FF699793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ck">
        <color rgb="FF699793"/>
      </bottom>
      <diagonal/>
    </border>
    <border>
      <left/>
      <right/>
      <top style="thick">
        <color rgb="FF44518A"/>
      </top>
      <bottom style="thin">
        <color theme="0" tint="-0.14996795556505021"/>
      </bottom>
      <diagonal/>
    </border>
    <border>
      <left style="thick">
        <color rgb="FF699793"/>
      </left>
      <right/>
      <top style="thick">
        <color rgb="FF699793"/>
      </top>
      <bottom style="thin">
        <color theme="0" tint="-0.14996795556505021"/>
      </bottom>
      <diagonal/>
    </border>
    <border>
      <left/>
      <right style="thick">
        <color rgb="FF699793"/>
      </right>
      <top style="thick">
        <color rgb="FF699793"/>
      </top>
      <bottom style="thin">
        <color theme="0" tint="-0.14996795556505021"/>
      </bottom>
      <diagonal/>
    </border>
    <border>
      <left style="thick">
        <color rgb="FF44518A"/>
      </left>
      <right/>
      <top style="thick">
        <color rgb="FF44518A"/>
      </top>
      <bottom style="thin">
        <color theme="0" tint="-0.14996795556505021"/>
      </bottom>
      <diagonal/>
    </border>
    <border>
      <left/>
      <right style="thick">
        <color rgb="FF44518A"/>
      </right>
      <top style="thick">
        <color rgb="FF44518A"/>
      </top>
      <bottom style="thin">
        <color theme="0" tint="-0.14996795556505021"/>
      </bottom>
      <diagonal/>
    </border>
    <border>
      <left style="thick">
        <color rgb="FF699793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99793"/>
      </left>
      <right/>
      <top style="thin">
        <color theme="0" tint="-0.14996795556505021"/>
      </top>
      <bottom style="thick">
        <color rgb="FF699793"/>
      </bottom>
      <diagonal/>
    </border>
    <border>
      <left/>
      <right style="thick">
        <color rgb="FF699793"/>
      </right>
      <top style="thin">
        <color theme="0" tint="-0.14996795556505021"/>
      </top>
      <bottom style="thick">
        <color rgb="FF699793"/>
      </bottom>
      <diagonal/>
    </border>
    <border>
      <left/>
      <right style="thick">
        <color rgb="FF699793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 style="double">
        <color rgb="FF3F3F3F"/>
      </right>
      <top style="double">
        <color theme="2" tint="-0.499984740745262"/>
      </top>
      <bottom style="double">
        <color theme="2" tint="-0.499984740745262"/>
      </bottom>
      <diagonal/>
    </border>
    <border>
      <left style="double">
        <color rgb="FF3F3F3F"/>
      </left>
      <right/>
      <top style="double">
        <color theme="2" tint="-0.499984740745262"/>
      </top>
      <bottom style="double">
        <color theme="2" tint="-0.499984740745262"/>
      </bottom>
      <diagonal/>
    </border>
    <border>
      <left/>
      <right style="double">
        <color theme="2" tint="-0.499984740745262"/>
      </right>
      <top style="double">
        <color theme="2" tint="-0.499984740745262"/>
      </top>
      <bottom style="double">
        <color theme="2" tint="-0.499984740745262"/>
      </bottom>
      <diagonal/>
    </border>
    <border>
      <left style="thick">
        <color rgb="FF699793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ck">
        <color rgb="FF699793"/>
      </right>
      <top style="thin">
        <color theme="0" tint="-0.1499679555650502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71">
    <xf numFmtId="0" fontId="0" fillId="0" borderId="0" xfId="0"/>
    <xf numFmtId="0" fontId="0" fillId="3" borderId="0" xfId="0" applyFill="1"/>
    <xf numFmtId="0" fontId="4" fillId="3" borderId="0" xfId="0" applyFont="1" applyFill="1"/>
    <xf numFmtId="0" fontId="4" fillId="0" borderId="0" xfId="0" applyFont="1"/>
    <xf numFmtId="0" fontId="2" fillId="5" borderId="4" xfId="0" applyFont="1" applyFill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/>
    </xf>
    <xf numFmtId="9" fontId="4" fillId="0" borderId="0" xfId="0" applyNumberFormat="1" applyFont="1"/>
    <xf numFmtId="0" fontId="0" fillId="0" borderId="19" xfId="0" applyBorder="1" applyAlignment="1">
      <alignment horizontal="left"/>
    </xf>
    <xf numFmtId="0" fontId="0" fillId="0" borderId="6" xfId="0" applyBorder="1" applyAlignment="1">
      <alignment horizontal="left"/>
    </xf>
    <xf numFmtId="164" fontId="0" fillId="0" borderId="22" xfId="0" applyNumberFormat="1" applyBorder="1" applyAlignment="1">
      <alignment horizontal="center"/>
    </xf>
    <xf numFmtId="9" fontId="0" fillId="0" borderId="22" xfId="2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0" fontId="0" fillId="0" borderId="8" xfId="2" applyNumberFormat="1" applyFont="1" applyBorder="1" applyAlignment="1">
      <alignment horizontal="center"/>
    </xf>
    <xf numFmtId="164" fontId="0" fillId="7" borderId="21" xfId="0" applyNumberFormat="1" applyFill="1" applyBorder="1" applyAlignment="1">
      <alignment horizontal="center"/>
    </xf>
    <xf numFmtId="0" fontId="5" fillId="7" borderId="5" xfId="0" applyFont="1" applyFill="1" applyBorder="1" applyAlignment="1">
      <alignment horizontal="left"/>
    </xf>
    <xf numFmtId="0" fontId="5" fillId="7" borderId="6" xfId="0" applyFont="1" applyFill="1" applyBorder="1" applyAlignment="1">
      <alignment horizontal="left"/>
    </xf>
    <xf numFmtId="164" fontId="0" fillId="7" borderId="8" xfId="1" applyNumberFormat="1" applyFont="1" applyFill="1" applyBorder="1" applyAlignment="1">
      <alignment horizontal="center"/>
    </xf>
    <xf numFmtId="164" fontId="0" fillId="7" borderId="11" xfId="1" applyNumberFormat="1" applyFont="1" applyFill="1" applyBorder="1" applyAlignment="1">
      <alignment horizontal="center"/>
    </xf>
    <xf numFmtId="0" fontId="6" fillId="7" borderId="5" xfId="0" applyFont="1" applyFill="1" applyBorder="1"/>
    <xf numFmtId="164" fontId="0" fillId="7" borderId="6" xfId="1" applyNumberFormat="1" applyFont="1" applyFill="1" applyBorder="1" applyAlignment="1">
      <alignment horizontal="center"/>
    </xf>
    <xf numFmtId="164" fontId="0" fillId="7" borderId="7" xfId="1" applyNumberFormat="1" applyFont="1" applyFill="1" applyBorder="1" applyAlignment="1">
      <alignment horizontal="center"/>
    </xf>
    <xf numFmtId="0" fontId="6" fillId="7" borderId="9" xfId="0" applyFont="1" applyFill="1" applyBorder="1"/>
    <xf numFmtId="164" fontId="0" fillId="7" borderId="1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7" borderId="0" xfId="0" applyFont="1" applyFill="1"/>
    <xf numFmtId="0" fontId="3" fillId="6" borderId="0" xfId="0" applyFont="1" applyFill="1" applyAlignment="1">
      <alignment horizontal="center"/>
    </xf>
    <xf numFmtId="0" fontId="0" fillId="6" borderId="0" xfId="0" applyFill="1"/>
    <xf numFmtId="0" fontId="3" fillId="6" borderId="0" xfId="0" applyFont="1" applyFill="1"/>
    <xf numFmtId="9" fontId="0" fillId="0" borderId="0" xfId="2" applyFont="1"/>
    <xf numFmtId="0" fontId="0" fillId="0" borderId="23" xfId="0" applyBorder="1"/>
    <xf numFmtId="0" fontId="0" fillId="0" borderId="23" xfId="0" applyBorder="1" applyAlignment="1">
      <alignment horizontal="center"/>
    </xf>
    <xf numFmtId="9" fontId="0" fillId="0" borderId="23" xfId="2" applyFont="1" applyBorder="1"/>
    <xf numFmtId="9" fontId="0" fillId="0" borderId="0" xfId="2" applyFont="1" applyBorder="1"/>
    <xf numFmtId="0" fontId="0" fillId="0" borderId="24" xfId="0" applyBorder="1" applyAlignment="1">
      <alignment horizontal="center"/>
    </xf>
    <xf numFmtId="9" fontId="0" fillId="0" borderId="25" xfId="0" applyNumberFormat="1" applyBorder="1" applyAlignment="1">
      <alignment horizontal="center"/>
    </xf>
    <xf numFmtId="164" fontId="0" fillId="0" borderId="26" xfId="0" applyNumberFormat="1" applyBorder="1"/>
    <xf numFmtId="0" fontId="0" fillId="0" borderId="27" xfId="0" applyBorder="1" applyAlignment="1">
      <alignment horizontal="center"/>
    </xf>
    <xf numFmtId="9" fontId="0" fillId="0" borderId="28" xfId="0" applyNumberFormat="1" applyBorder="1" applyAlignment="1">
      <alignment horizontal="center"/>
    </xf>
    <xf numFmtId="164" fontId="0" fillId="0" borderId="29" xfId="0" applyNumberFormat="1" applyBorder="1"/>
    <xf numFmtId="0" fontId="0" fillId="0" borderId="30" xfId="0" applyBorder="1" applyAlignment="1">
      <alignment horizontal="center"/>
    </xf>
    <xf numFmtId="9" fontId="0" fillId="0" borderId="31" xfId="0" applyNumberFormat="1" applyBorder="1" applyAlignment="1">
      <alignment horizontal="center"/>
    </xf>
    <xf numFmtId="164" fontId="0" fillId="0" borderId="32" xfId="0" applyNumberFormat="1" applyBorder="1"/>
    <xf numFmtId="0" fontId="2" fillId="2" borderId="33" xfId="3" applyBorder="1"/>
    <xf numFmtId="164" fontId="3" fillId="6" borderId="0" xfId="0" applyNumberFormat="1" applyFont="1" applyFill="1" applyAlignment="1">
      <alignment horizontal="righ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0" fontId="5" fillId="7" borderId="6" xfId="0" applyFont="1" applyFill="1" applyBorder="1" applyAlignment="1">
      <alignment horizontal="left"/>
    </xf>
    <xf numFmtId="0" fontId="5" fillId="7" borderId="9" xfId="0" applyFont="1" applyFill="1" applyBorder="1" applyAlignment="1">
      <alignment horizontal="left"/>
    </xf>
    <xf numFmtId="0" fontId="5" fillId="7" borderId="10" xfId="0" applyFont="1" applyFill="1" applyBorder="1" applyAlignment="1">
      <alignment horizontal="left"/>
    </xf>
    <xf numFmtId="0" fontId="2" fillId="2" borderId="34" xfId="3" applyBorder="1" applyAlignment="1">
      <alignment horizontal="center"/>
    </xf>
    <xf numFmtId="0" fontId="2" fillId="2" borderId="35" xfId="3" applyBorder="1" applyAlignment="1">
      <alignment horizontal="center"/>
    </xf>
    <xf numFmtId="164" fontId="0" fillId="7" borderId="0" xfId="0" applyNumberFormat="1" applyFill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7" borderId="20" xfId="0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1" fontId="0" fillId="0" borderId="22" xfId="2" applyNumberFormat="1" applyFont="1" applyBorder="1" applyAlignment="1">
      <alignment horizontal="center"/>
    </xf>
    <xf numFmtId="9" fontId="0" fillId="7" borderId="21" xfId="2" applyFont="1" applyFill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9" fontId="0" fillId="0" borderId="38" xfId="2" applyFont="1" applyBorder="1" applyAlignment="1">
      <alignment horizontal="center"/>
    </xf>
  </cellXfs>
  <cellStyles count="4">
    <cellStyle name="Célula de Verificação" xfId="3" builtinId="23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2F2F2"/>
      <color rgb="FF699793"/>
      <color rgb="FF28466B"/>
      <color rgb="FF4451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29-4B6A-8147-C87A375E5B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29-4B6A-8147-C87A375E5B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29-4B6A-8147-C87A375E5B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29-4B6A-8147-C87A375E5B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29-4B6A-8147-C87A375E5B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229-4B6A-8147-C87A375E5B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Simulador!$C$26:$C$31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Simulador!$D$26:$D$31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1-4332-B51F-E36ECBC576F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32</xdr:row>
      <xdr:rowOff>30480</xdr:rowOff>
    </xdr:from>
    <xdr:to>
      <xdr:col>5</xdr:col>
      <xdr:colOff>0</xdr:colOff>
      <xdr:row>47</xdr:row>
      <xdr:rowOff>91440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7F0D19EB-C4AA-ACD3-7E6C-7B0C8C088350}"/>
            </a:ext>
          </a:extLst>
        </xdr:cNvPr>
        <xdr:cNvSpPr/>
      </xdr:nvSpPr>
      <xdr:spPr>
        <a:xfrm>
          <a:off x="281940" y="7330440"/>
          <a:ext cx="6446520" cy="2804160"/>
        </a:xfrm>
        <a:prstGeom prst="rect">
          <a:avLst/>
        </a:prstGeom>
        <a:solidFill>
          <a:srgbClr val="F2F2F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2</xdr:col>
      <xdr:colOff>1447800</xdr:colOff>
      <xdr:row>0</xdr:row>
      <xdr:rowOff>274320</xdr:rowOff>
    </xdr:from>
    <xdr:ext cx="4214872" cy="405432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645D491-221A-AD00-080C-C0B8EC902140}"/>
            </a:ext>
          </a:extLst>
        </xdr:cNvPr>
        <xdr:cNvSpPr txBox="1"/>
      </xdr:nvSpPr>
      <xdr:spPr>
        <a:xfrm>
          <a:off x="1752600" y="274320"/>
          <a:ext cx="421487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000" i="0">
              <a:solidFill>
                <a:schemeClr val="bg1">
                  <a:lumMod val="95000"/>
                </a:schemeClr>
              </a:solidFill>
              <a:latin typeface="Constantia" panose="02030602050306030303" pitchFamily="18" charset="0"/>
              <a:ea typeface="Calibri" panose="020F0502020204030204" pitchFamily="34" charset="0"/>
              <a:cs typeface="Calibri" panose="020F0502020204030204" pitchFamily="34" charset="0"/>
            </a:rPr>
            <a:t>SIMULADOR DE INVESTIMENTOS</a:t>
          </a:r>
        </a:p>
      </xdr:txBody>
    </xdr:sp>
    <xdr:clientData/>
  </xdr:oneCellAnchor>
  <xdr:twoCellAnchor editAs="oneCell">
    <xdr:from>
      <xdr:col>1</xdr:col>
      <xdr:colOff>15239</xdr:colOff>
      <xdr:row>0</xdr:row>
      <xdr:rowOff>15240</xdr:rowOff>
    </xdr:from>
    <xdr:to>
      <xdr:col>2</xdr:col>
      <xdr:colOff>1258824</xdr:colOff>
      <xdr:row>1</xdr:row>
      <xdr:rowOff>7620</xdr:rowOff>
    </xdr:to>
    <xdr:pic>
      <xdr:nvPicPr>
        <xdr:cNvPr id="6" name="Imagem 5" descr="11 amuletos e objetos que atraem dinheiro e prosperidade">
          <a:extLst>
            <a:ext uri="{FF2B5EF4-FFF2-40B4-BE49-F238E27FC236}">
              <a16:creationId xmlns:a16="http://schemas.microsoft.com/office/drawing/2014/main" id="{2FA2C230-5B89-C3BE-79F9-68CFF5EFF2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82" r="4207"/>
        <a:stretch>
          <a:fillRect/>
        </a:stretch>
      </xdr:blipFill>
      <xdr:spPr bwMode="auto">
        <a:xfrm>
          <a:off x="15239" y="15240"/>
          <a:ext cx="1548385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32</xdr:row>
      <xdr:rowOff>34290</xdr:rowOff>
    </xdr:from>
    <xdr:to>
      <xdr:col>4</xdr:col>
      <xdr:colOff>1882140</xdr:colOff>
      <xdr:row>47</xdr:row>
      <xdr:rowOff>34290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A6EB1C3-F197-F394-9B78-562420144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1447800</xdr:colOff>
      <xdr:row>0</xdr:row>
      <xdr:rowOff>149094</xdr:rowOff>
    </xdr:from>
    <xdr:ext cx="3865995" cy="405432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553E483-E92E-4015-A36F-49D81637AED1}"/>
            </a:ext>
          </a:extLst>
        </xdr:cNvPr>
        <xdr:cNvSpPr txBox="1"/>
      </xdr:nvSpPr>
      <xdr:spPr>
        <a:xfrm>
          <a:off x="1752600" y="149094"/>
          <a:ext cx="386599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lvl="0"/>
          <a:r>
            <a:rPr lang="pt-BR" sz="2000" i="0">
              <a:solidFill>
                <a:schemeClr val="bg1">
                  <a:lumMod val="95000"/>
                </a:schemeClr>
              </a:solidFill>
              <a:latin typeface="Constantia" panose="02030602050306030303" pitchFamily="18" charset="0"/>
              <a:ea typeface="Calibri" panose="020F0502020204030204" pitchFamily="34" charset="0"/>
              <a:cs typeface="Calibri" panose="020F0502020204030204" pitchFamily="34" charset="0"/>
            </a:rPr>
            <a:t>DICAS</a:t>
          </a:r>
          <a:r>
            <a:rPr lang="pt-BR" sz="2000" i="0" baseline="0">
              <a:solidFill>
                <a:schemeClr val="bg1">
                  <a:lumMod val="95000"/>
                </a:schemeClr>
              </a:solidFill>
              <a:latin typeface="Constantia" panose="02030602050306030303" pitchFamily="18" charset="0"/>
              <a:ea typeface="Calibri" panose="020F0502020204030204" pitchFamily="34" charset="0"/>
              <a:cs typeface="Calibri" panose="020F0502020204030204" pitchFamily="34" charset="0"/>
            </a:rPr>
            <a:t> PARA VIVER DE RENDA</a:t>
          </a:r>
          <a:endParaRPr lang="pt-BR" sz="2000" i="0">
            <a:solidFill>
              <a:schemeClr val="bg1">
                <a:lumMod val="95000"/>
              </a:schemeClr>
            </a:solidFill>
            <a:latin typeface="Constantia" panose="02030602050306030303" pitchFamily="18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2</xdr:col>
      <xdr:colOff>1243585</xdr:colOff>
      <xdr:row>0</xdr:row>
      <xdr:rowOff>967740</xdr:rowOff>
    </xdr:to>
    <xdr:pic>
      <xdr:nvPicPr>
        <xdr:cNvPr id="6" name="Imagem 5" descr="11 amuletos e objetos que atraem dinheiro e prosperidade">
          <a:extLst>
            <a:ext uri="{FF2B5EF4-FFF2-40B4-BE49-F238E27FC236}">
              <a16:creationId xmlns:a16="http://schemas.microsoft.com/office/drawing/2014/main" id="{833EE6AF-68D0-464D-B005-0BABB1CCCE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82" r="4207"/>
        <a:stretch>
          <a:fillRect/>
        </a:stretch>
      </xdr:blipFill>
      <xdr:spPr bwMode="auto">
        <a:xfrm>
          <a:off x="0" y="0"/>
          <a:ext cx="1548385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C1EB-B745-4597-9657-CE6FBE1026AF}">
  <dimension ref="A1:L48"/>
  <sheetViews>
    <sheetView showGridLines="0" showRowColHeaders="0" tabSelected="1" topLeftCell="B1" workbookViewId="0">
      <selection activeCell="B2" sqref="B2"/>
    </sheetView>
  </sheetViews>
  <sheetFormatPr defaultColWidth="0" defaultRowHeight="14.4" zeroHeight="1" x14ac:dyDescent="0.3"/>
  <cols>
    <col min="1" max="1" width="4.5546875" style="3" hidden="1" customWidth="1"/>
    <col min="2" max="2" width="4.44140625" customWidth="1"/>
    <col min="3" max="3" width="41.77734375" customWidth="1"/>
    <col min="4" max="4" width="24.21875" customWidth="1"/>
    <col min="5" max="5" width="27.6640625" customWidth="1"/>
    <col min="6" max="6" width="4.5546875" bestFit="1" customWidth="1"/>
    <col min="7" max="7" width="12.44140625" hidden="1" customWidth="1"/>
    <col min="8" max="8" width="18.88671875" hidden="1" customWidth="1"/>
    <col min="9" max="10" width="0" hidden="1" customWidth="1"/>
    <col min="11" max="11" width="12.44140625" hidden="1" customWidth="1"/>
    <col min="12" max="12" width="18.88671875" hidden="1" customWidth="1"/>
    <col min="13" max="16384" width="8.88671875" hidden="1"/>
  </cols>
  <sheetData>
    <row r="1" spans="1:5" s="1" customFormat="1" ht="76.8" customHeight="1" x14ac:dyDescent="0.3">
      <c r="A1" s="2"/>
    </row>
    <row r="2" spans="1:5" ht="15" thickBot="1" x14ac:dyDescent="0.35"/>
    <row r="3" spans="1:5" ht="25.05" customHeight="1" thickTop="1" x14ac:dyDescent="0.3">
      <c r="C3" s="55" t="s">
        <v>15</v>
      </c>
      <c r="D3" s="56"/>
      <c r="E3" s="57"/>
    </row>
    <row r="4" spans="1:5" x14ac:dyDescent="0.3">
      <c r="C4" s="61" t="s">
        <v>13</v>
      </c>
      <c r="D4" s="62"/>
      <c r="E4" s="9">
        <v>4500</v>
      </c>
    </row>
    <row r="5" spans="1:5" x14ac:dyDescent="0.3">
      <c r="C5" s="61" t="s">
        <v>14</v>
      </c>
      <c r="D5" s="62"/>
      <c r="E5" s="10">
        <v>0.01</v>
      </c>
    </row>
    <row r="6" spans="1:5" ht="15" thickBot="1" x14ac:dyDescent="0.35">
      <c r="C6" s="63" t="s">
        <v>33</v>
      </c>
      <c r="D6" s="64"/>
      <c r="E6" s="13">
        <f>E4*0.3</f>
        <v>1350</v>
      </c>
    </row>
    <row r="7" spans="1:5" ht="15.6" thickTop="1" thickBot="1" x14ac:dyDescent="0.35"/>
    <row r="8" spans="1:5" ht="25.05" customHeight="1" thickTop="1" x14ac:dyDescent="0.3">
      <c r="C8" s="58" t="s">
        <v>3</v>
      </c>
      <c r="D8" s="59"/>
      <c r="E8" s="60"/>
    </row>
    <row r="9" spans="1:5" ht="15.6" x14ac:dyDescent="0.3">
      <c r="C9" s="44" t="s">
        <v>0</v>
      </c>
      <c r="D9" s="45"/>
      <c r="E9" s="5">
        <v>600</v>
      </c>
    </row>
    <row r="10" spans="1:5" ht="15.6" x14ac:dyDescent="0.3">
      <c r="A10" s="6"/>
      <c r="C10" s="44" t="s">
        <v>1</v>
      </c>
      <c r="D10" s="45"/>
      <c r="E10" s="11">
        <v>5</v>
      </c>
    </row>
    <row r="11" spans="1:5" ht="15.6" x14ac:dyDescent="0.3">
      <c r="C11" s="44" t="s">
        <v>2</v>
      </c>
      <c r="D11" s="45"/>
      <c r="E11" s="12">
        <v>1.0789999999999999E-2</v>
      </c>
    </row>
    <row r="12" spans="1:5" ht="15.6" x14ac:dyDescent="0.3">
      <c r="A12" s="6"/>
      <c r="C12" s="46" t="s">
        <v>4</v>
      </c>
      <c r="D12" s="47"/>
      <c r="E12" s="16">
        <f>FV(taxa_mensal,qtd_ano*12,aporte)*-1</f>
        <v>50266.148399092584</v>
      </c>
    </row>
    <row r="13" spans="1:5" ht="16.2" thickBot="1" x14ac:dyDescent="0.35">
      <c r="C13" s="48" t="s">
        <v>5</v>
      </c>
      <c r="D13" s="49"/>
      <c r="E13" s="17">
        <f>patrimonio*rendimento_carteira</f>
        <v>502.66148399092583</v>
      </c>
    </row>
    <row r="14" spans="1:5" ht="15.6" thickTop="1" thickBot="1" x14ac:dyDescent="0.35"/>
    <row r="15" spans="1:5" ht="25.05" customHeight="1" thickTop="1" x14ac:dyDescent="0.3">
      <c r="C15" s="53" t="s">
        <v>11</v>
      </c>
      <c r="D15" s="54"/>
      <c r="E15" s="4" t="s">
        <v>12</v>
      </c>
    </row>
    <row r="16" spans="1:5" ht="15.6" x14ac:dyDescent="0.3">
      <c r="A16" s="3">
        <v>2</v>
      </c>
      <c r="C16" s="18" t="s">
        <v>6</v>
      </c>
      <c r="D16" s="19">
        <f>FV(taxa_mensal,$A16*12,aporte)*-1</f>
        <v>16336.57637858713</v>
      </c>
      <c r="E16" s="20">
        <f>D16*rendimento_carteira</f>
        <v>163.36576378587131</v>
      </c>
    </row>
    <row r="17" spans="1:5" ht="15.6" x14ac:dyDescent="0.3">
      <c r="A17" s="3">
        <v>5</v>
      </c>
      <c r="C17" s="18" t="s">
        <v>7</v>
      </c>
      <c r="D17" s="19">
        <f>FV(taxa_mensal,$A17*12,aporte)*-1</f>
        <v>50266.148399092584</v>
      </c>
      <c r="E17" s="20">
        <f>D17*rendimento_carteira</f>
        <v>502.66148399092583</v>
      </c>
    </row>
    <row r="18" spans="1:5" ht="15.6" x14ac:dyDescent="0.3">
      <c r="A18" s="3">
        <v>10</v>
      </c>
      <c r="C18" s="18" t="s">
        <v>8</v>
      </c>
      <c r="D18" s="19">
        <f>FV(taxa_mensal,$A18*12,aporte)*-1</f>
        <v>145970.52751810331</v>
      </c>
      <c r="E18" s="20">
        <f>D18*rendimento_carteira</f>
        <v>1459.7052751810331</v>
      </c>
    </row>
    <row r="19" spans="1:5" ht="15.6" x14ac:dyDescent="0.3">
      <c r="A19" s="3">
        <v>20</v>
      </c>
      <c r="C19" s="18" t="s">
        <v>9</v>
      </c>
      <c r="D19" s="19">
        <f>FV(taxa_mensal,$A19*12,aporte)*-1</f>
        <v>675119.04005824833</v>
      </c>
      <c r="E19" s="20">
        <f>D19*rendimento_carteira</f>
        <v>6751.1904005824836</v>
      </c>
    </row>
    <row r="20" spans="1:5" ht="16.2" thickBot="1" x14ac:dyDescent="0.35">
      <c r="A20" s="3">
        <v>30</v>
      </c>
      <c r="C20" s="21" t="s">
        <v>10</v>
      </c>
      <c r="D20" s="22">
        <f>FV(taxa_mensal,$A20*12,aporte)*-1</f>
        <v>2593301.7930028285</v>
      </c>
      <c r="E20" s="17">
        <f>D20*rendimento_carteira</f>
        <v>25933.017930028287</v>
      </c>
    </row>
    <row r="21" spans="1:5" ht="15.6" thickTop="1" thickBot="1" x14ac:dyDescent="0.35"/>
    <row r="22" spans="1:5" ht="15.6" thickTop="1" thickBot="1" x14ac:dyDescent="0.35">
      <c r="C22" s="42" t="s">
        <v>16</v>
      </c>
      <c r="D22" s="50" t="s">
        <v>17</v>
      </c>
      <c r="E22" s="51"/>
    </row>
    <row r="23" spans="1:5" ht="16.2" thickTop="1" x14ac:dyDescent="0.3">
      <c r="C23" s="24" t="s">
        <v>18</v>
      </c>
      <c r="D23" s="52">
        <f>aporte</f>
        <v>600</v>
      </c>
      <c r="E23" s="52"/>
    </row>
    <row r="24" spans="1:5" x14ac:dyDescent="0.3"/>
    <row r="25" spans="1:5" x14ac:dyDescent="0.3">
      <c r="C25" s="25" t="s">
        <v>19</v>
      </c>
      <c r="D25" s="25" t="s">
        <v>20</v>
      </c>
      <c r="E25" s="25" t="s">
        <v>21</v>
      </c>
    </row>
    <row r="26" spans="1:5" x14ac:dyDescent="0.3">
      <c r="C26" s="33" t="s">
        <v>22</v>
      </c>
      <c r="D26" s="34">
        <f>VLOOKUP($D$22&amp;"-"&amp;$C26,Apoio!$A:$D,4,0)</f>
        <v>0.3</v>
      </c>
      <c r="E26" s="35">
        <f>$D$23*$D26</f>
        <v>180</v>
      </c>
    </row>
    <row r="27" spans="1:5" x14ac:dyDescent="0.3">
      <c r="C27" s="36" t="s">
        <v>23</v>
      </c>
      <c r="D27" s="37">
        <f>VLOOKUP($D$22&amp;"-"&amp;$C27,Apoio!$A:$D,4,0)</f>
        <v>0.5</v>
      </c>
      <c r="E27" s="38">
        <f t="shared" ref="E27:E31" si="0">$D$23*$D27</f>
        <v>300</v>
      </c>
    </row>
    <row r="28" spans="1:5" x14ac:dyDescent="0.3">
      <c r="C28" s="36" t="s">
        <v>24</v>
      </c>
      <c r="D28" s="37">
        <f>VLOOKUP($D$22&amp;"-"&amp;$C28,Apoio!$A:$D,4,0)</f>
        <v>0.1</v>
      </c>
      <c r="E28" s="38">
        <f t="shared" si="0"/>
        <v>60</v>
      </c>
    </row>
    <row r="29" spans="1:5" x14ac:dyDescent="0.3">
      <c r="C29" s="36" t="s">
        <v>25</v>
      </c>
      <c r="D29" s="37">
        <f>VLOOKUP($D$22&amp;"-"&amp;$C29,Apoio!$A:$D,4,0)</f>
        <v>0.1</v>
      </c>
      <c r="E29" s="38">
        <f t="shared" si="0"/>
        <v>60</v>
      </c>
    </row>
    <row r="30" spans="1:5" x14ac:dyDescent="0.3">
      <c r="C30" s="36" t="s">
        <v>26</v>
      </c>
      <c r="D30" s="37">
        <f>VLOOKUP($D$22&amp;"-"&amp;$C30,Apoio!$A:$D,4,0)</f>
        <v>0</v>
      </c>
      <c r="E30" s="38">
        <f t="shared" si="0"/>
        <v>0</v>
      </c>
    </row>
    <row r="31" spans="1:5" x14ac:dyDescent="0.3">
      <c r="C31" s="39" t="s">
        <v>27</v>
      </c>
      <c r="D31" s="40">
        <f>VLOOKUP($D$22&amp;"-"&amp;$C31,Apoio!$A:$D,4,0)</f>
        <v>0</v>
      </c>
      <c r="E31" s="41">
        <f t="shared" si="0"/>
        <v>0</v>
      </c>
    </row>
    <row r="32" spans="1:5" x14ac:dyDescent="0.3">
      <c r="C32" s="26"/>
      <c r="D32" s="26"/>
      <c r="E32" s="43">
        <f>SUM(E26:E31)</f>
        <v>600</v>
      </c>
    </row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</sheetData>
  <mergeCells count="13">
    <mergeCell ref="C9:D9"/>
    <mergeCell ref="C3:E3"/>
    <mergeCell ref="C8:E8"/>
    <mergeCell ref="C4:D4"/>
    <mergeCell ref="C5:D5"/>
    <mergeCell ref="C6:D6"/>
    <mergeCell ref="C10:D10"/>
    <mergeCell ref="C12:D12"/>
    <mergeCell ref="C13:D13"/>
    <mergeCell ref="D22:E22"/>
    <mergeCell ref="D23:E23"/>
    <mergeCell ref="C11:D11"/>
    <mergeCell ref="C15:D15"/>
  </mergeCells>
  <dataValidations count="1">
    <dataValidation type="list" allowBlank="1" showInputMessage="1" showErrorMessage="1" sqref="D22:E22" xr:uid="{A27F319B-F0AB-42B8-9F80-A1C315145407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0D98-0122-4FB1-BBD9-F0324490E2B7}">
  <dimension ref="A1:L32"/>
  <sheetViews>
    <sheetView showGridLines="0" topLeftCell="B1" workbookViewId="0">
      <selection activeCell="E12" sqref="E12"/>
    </sheetView>
  </sheetViews>
  <sheetFormatPr defaultColWidth="0" defaultRowHeight="14.4" customHeight="1" zeroHeight="1" x14ac:dyDescent="0.3"/>
  <cols>
    <col min="1" max="1" width="4.5546875" style="3" hidden="1"/>
    <col min="2" max="2" width="4.44140625" customWidth="1"/>
    <col min="3" max="3" width="36.21875" customWidth="1"/>
    <col min="4" max="4" width="32.44140625" customWidth="1"/>
    <col min="5" max="5" width="27.6640625" customWidth="1"/>
    <col min="6" max="6" width="3.33203125" customWidth="1"/>
    <col min="7" max="7" width="12.44140625" hidden="1"/>
    <col min="8" max="8" width="18.88671875" hidden="1"/>
    <col min="11" max="11" width="12.44140625" hidden="1"/>
    <col min="12" max="12" width="18.88671875" hidden="1"/>
    <col min="13" max="16384" width="8.88671875" hidden="1"/>
  </cols>
  <sheetData>
    <row r="1" spans="1:6" s="1" customFormat="1" ht="76.8" customHeight="1" x14ac:dyDescent="0.3">
      <c r="A1" s="2"/>
      <c r="F1"/>
    </row>
    <row r="2" spans="1:6" ht="15" thickBot="1" x14ac:dyDescent="0.35"/>
    <row r="3" spans="1:6" ht="25.05" customHeight="1" thickTop="1" x14ac:dyDescent="0.3">
      <c r="C3" s="55" t="s">
        <v>47</v>
      </c>
      <c r="D3" s="56"/>
      <c r="E3" s="57"/>
    </row>
    <row r="4" spans="1:6" x14ac:dyDescent="0.3">
      <c r="C4" s="61" t="s">
        <v>34</v>
      </c>
      <c r="D4" s="62"/>
      <c r="E4" s="67">
        <v>200</v>
      </c>
    </row>
    <row r="5" spans="1:6" x14ac:dyDescent="0.3">
      <c r="C5" s="7" t="s">
        <v>35</v>
      </c>
      <c r="D5" s="8"/>
      <c r="E5" s="10">
        <v>0.3</v>
      </c>
    </row>
    <row r="6" spans="1:6" x14ac:dyDescent="0.3">
      <c r="C6" s="7" t="s">
        <v>36</v>
      </c>
      <c r="D6" s="8"/>
      <c r="E6" s="65">
        <v>6</v>
      </c>
    </row>
    <row r="7" spans="1:6" x14ac:dyDescent="0.3">
      <c r="C7" s="61" t="s">
        <v>38</v>
      </c>
      <c r="D7" s="62"/>
      <c r="E7" s="10">
        <v>0.6</v>
      </c>
    </row>
    <row r="8" spans="1:6" x14ac:dyDescent="0.3">
      <c r="C8" s="68" t="s">
        <v>37</v>
      </c>
      <c r="D8" s="69"/>
      <c r="E8" s="70">
        <v>0.1</v>
      </c>
    </row>
    <row r="9" spans="1:6" ht="15" thickBot="1" x14ac:dyDescent="0.35">
      <c r="C9" s="63" t="s">
        <v>46</v>
      </c>
      <c r="D9" s="64"/>
      <c r="E9" s="66">
        <v>0.01</v>
      </c>
    </row>
    <row r="10" spans="1:6" ht="15.6" thickTop="1" thickBot="1" x14ac:dyDescent="0.35"/>
    <row r="11" spans="1:6" ht="25.05" customHeight="1" thickTop="1" x14ac:dyDescent="0.3">
      <c r="C11" s="58" t="s">
        <v>39</v>
      </c>
      <c r="D11" s="59"/>
      <c r="E11" s="60"/>
    </row>
    <row r="12" spans="1:6" ht="15.6" x14ac:dyDescent="0.3">
      <c r="C12" s="44" t="s">
        <v>40</v>
      </c>
      <c r="D12" s="45"/>
      <c r="E12" s="5">
        <v>1850</v>
      </c>
    </row>
    <row r="13" spans="1:6" ht="15.6" x14ac:dyDescent="0.3">
      <c r="A13" s="6"/>
      <c r="C13" s="46" t="s">
        <v>42</v>
      </c>
      <c r="D13" s="47"/>
      <c r="E13" s="16">
        <f>salario_mensal*montante</f>
        <v>370000</v>
      </c>
    </row>
    <row r="14" spans="1:6" ht="15.6" x14ac:dyDescent="0.3">
      <c r="A14" s="6"/>
      <c r="C14" s="14" t="s">
        <v>45</v>
      </c>
      <c r="D14" s="15"/>
      <c r="E14" s="16">
        <f>salario_mensal*valor_investimento</f>
        <v>555</v>
      </c>
    </row>
    <row r="15" spans="1:6" ht="15.6" x14ac:dyDescent="0.3">
      <c r="C15" s="46" t="s">
        <v>43</v>
      </c>
      <c r="D15" s="47"/>
      <c r="E15" s="16">
        <f>salario_mensal*reserva_emergencia</f>
        <v>11100</v>
      </c>
    </row>
    <row r="16" spans="1:6" ht="15.6" x14ac:dyDescent="0.3">
      <c r="A16" s="6"/>
      <c r="C16" s="46" t="s">
        <v>41</v>
      </c>
      <c r="D16" s="47"/>
      <c r="E16" s="16">
        <f>salario_mensal*gastos_fixos</f>
        <v>1110</v>
      </c>
    </row>
    <row r="17" spans="1:5" ht="16.2" thickBot="1" x14ac:dyDescent="0.35">
      <c r="C17" s="48" t="s">
        <v>44</v>
      </c>
      <c r="D17" s="49"/>
      <c r="E17" s="17">
        <f>salario_mensal*lazer</f>
        <v>185</v>
      </c>
    </row>
    <row r="18" spans="1:5" ht="15.6" thickTop="1" thickBot="1" x14ac:dyDescent="0.35"/>
    <row r="19" spans="1:5" ht="21" thickTop="1" x14ac:dyDescent="0.3">
      <c r="C19" s="58" t="s">
        <v>3</v>
      </c>
      <c r="D19" s="59"/>
      <c r="E19" s="60"/>
    </row>
    <row r="20" spans="1:5" ht="15.6" x14ac:dyDescent="0.3">
      <c r="C20" s="44" t="s">
        <v>0</v>
      </c>
      <c r="D20" s="45"/>
      <c r="E20" s="5">
        <f>$E$14</f>
        <v>555</v>
      </c>
    </row>
    <row r="21" spans="1:5" ht="15.6" x14ac:dyDescent="0.3">
      <c r="C21" s="44" t="s">
        <v>1</v>
      </c>
      <c r="D21" s="45"/>
      <c r="E21" s="11">
        <v>10</v>
      </c>
    </row>
    <row r="22" spans="1:5" ht="15.6" x14ac:dyDescent="0.3">
      <c r="C22" s="44" t="s">
        <v>2</v>
      </c>
      <c r="D22" s="45"/>
      <c r="E22" s="12">
        <v>1.0789999999999999E-2</v>
      </c>
    </row>
    <row r="23" spans="1:5" ht="15.6" x14ac:dyDescent="0.3">
      <c r="C23" s="46" t="s">
        <v>4</v>
      </c>
      <c r="D23" s="47"/>
      <c r="E23" s="16">
        <f>FV(taxa_dica,ano_dica*12,aporte_dica)*-1</f>
        <v>135022.73795424556</v>
      </c>
    </row>
    <row r="24" spans="1:5" ht="16.2" thickBot="1" x14ac:dyDescent="0.35">
      <c r="C24" s="48" t="s">
        <v>5</v>
      </c>
      <c r="D24" s="49"/>
      <c r="E24" s="17">
        <f>patrimonio*rendimento_carteira2</f>
        <v>502.66148399092583</v>
      </c>
    </row>
    <row r="25" spans="1:5" ht="15.6" thickTop="1" thickBot="1" x14ac:dyDescent="0.35"/>
    <row r="26" spans="1:5" ht="25.05" customHeight="1" thickTop="1" x14ac:dyDescent="0.3">
      <c r="C26" s="53" t="s">
        <v>11</v>
      </c>
      <c r="D26" s="54"/>
      <c r="E26" s="4" t="s">
        <v>12</v>
      </c>
    </row>
    <row r="27" spans="1:5" ht="15.6" x14ac:dyDescent="0.3">
      <c r="A27" s="3">
        <v>2</v>
      </c>
      <c r="C27" s="18" t="s">
        <v>6</v>
      </c>
      <c r="D27" s="19">
        <f>FV(taxa_dica,$A27*12,aporte_dica)*-1</f>
        <v>15111.333150193095</v>
      </c>
      <c r="E27" s="20">
        <f>D27*rendimento_carteira2</f>
        <v>151.11333150193096</v>
      </c>
    </row>
    <row r="28" spans="1:5" ht="15.6" x14ac:dyDescent="0.3">
      <c r="A28" s="3">
        <v>5</v>
      </c>
      <c r="C28" s="18" t="s">
        <v>7</v>
      </c>
      <c r="D28" s="19">
        <f>FV(taxa_dica,$A28*12,aporte_dica)*-1</f>
        <v>46496.18726916064</v>
      </c>
      <c r="E28" s="20">
        <f>D28*rendimento_carteira2</f>
        <v>464.9618726916064</v>
      </c>
    </row>
    <row r="29" spans="1:5" ht="15.6" x14ac:dyDescent="0.3">
      <c r="A29" s="3">
        <v>10</v>
      </c>
      <c r="C29" s="18" t="s">
        <v>8</v>
      </c>
      <c r="D29" s="19">
        <f>FV(taxa_dica,$A29*12,aporte_dica)*-1</f>
        <v>135022.73795424556</v>
      </c>
      <c r="E29" s="20">
        <f>D29*rendimento_carteira2</f>
        <v>1350.2273795424555</v>
      </c>
    </row>
    <row r="30" spans="1:5" ht="15.6" x14ac:dyDescent="0.3">
      <c r="A30" s="3">
        <v>20</v>
      </c>
      <c r="C30" s="18" t="s">
        <v>9</v>
      </c>
      <c r="D30" s="19">
        <f>FV(taxa_dica,$A30*12,aporte_dica)*-1</f>
        <v>624485.11205387977</v>
      </c>
      <c r="E30" s="20">
        <f>D30*rendimento_carteira2</f>
        <v>6244.8511205387977</v>
      </c>
    </row>
    <row r="31" spans="1:5" ht="16.2" thickBot="1" x14ac:dyDescent="0.35">
      <c r="A31" s="3">
        <v>30</v>
      </c>
      <c r="C31" s="21" t="s">
        <v>10</v>
      </c>
      <c r="D31" s="22">
        <f>FV(taxa_dica,$A31*12,aporte_dica)*-1</f>
        <v>2398804.1585276164</v>
      </c>
      <c r="E31" s="17">
        <f>D31*rendimento_carteira2</f>
        <v>23988.041585276165</v>
      </c>
    </row>
    <row r="32" spans="1:5" ht="15" thickTop="1" x14ac:dyDescent="0.3"/>
  </sheetData>
  <mergeCells count="17">
    <mergeCell ref="C19:E19"/>
    <mergeCell ref="C20:D20"/>
    <mergeCell ref="C21:D21"/>
    <mergeCell ref="C22:D22"/>
    <mergeCell ref="C23:D23"/>
    <mergeCell ref="C24:D24"/>
    <mergeCell ref="C13:D13"/>
    <mergeCell ref="C15:D15"/>
    <mergeCell ref="C16:D16"/>
    <mergeCell ref="C17:D17"/>
    <mergeCell ref="C26:D26"/>
    <mergeCell ref="C3:E3"/>
    <mergeCell ref="C4:D4"/>
    <mergeCell ref="C7:D7"/>
    <mergeCell ref="C9:D9"/>
    <mergeCell ref="C11:E11"/>
    <mergeCell ref="C12:D1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EE4C-C4CD-40F3-9766-B5A5237A360B}">
  <dimension ref="A2:D20"/>
  <sheetViews>
    <sheetView showGridLines="0" workbookViewId="0">
      <selection activeCell="D3" sqref="D3:D8"/>
    </sheetView>
  </sheetViews>
  <sheetFormatPr defaultRowHeight="14.4" x14ac:dyDescent="0.3"/>
  <cols>
    <col min="1" max="1" width="31.5546875" bestFit="1" customWidth="1"/>
    <col min="2" max="2" width="19.77734375" customWidth="1"/>
    <col min="3" max="3" width="20.5546875" customWidth="1"/>
    <col min="4" max="4" width="11.88671875" bestFit="1" customWidth="1"/>
  </cols>
  <sheetData>
    <row r="2" spans="1:4" x14ac:dyDescent="0.3">
      <c r="A2" s="27" t="s">
        <v>30</v>
      </c>
      <c r="B2" s="27" t="s">
        <v>16</v>
      </c>
      <c r="C2" s="25" t="s">
        <v>19</v>
      </c>
      <c r="D2" s="25" t="s">
        <v>31</v>
      </c>
    </row>
    <row r="3" spans="1:4" x14ac:dyDescent="0.3">
      <c r="A3" t="str">
        <f>B3&amp;"-"&amp;C3</f>
        <v>CONSERVADOR-PAPEL</v>
      </c>
      <c r="B3" t="s">
        <v>28</v>
      </c>
      <c r="C3" s="23" t="s">
        <v>22</v>
      </c>
      <c r="D3" s="28">
        <v>0.3</v>
      </c>
    </row>
    <row r="4" spans="1:4" x14ac:dyDescent="0.3">
      <c r="A4" t="str">
        <f t="shared" ref="A4:A20" si="0">B4&amp;"-"&amp;C4</f>
        <v>CONSERVADOR-TIJOLO</v>
      </c>
      <c r="B4" t="s">
        <v>28</v>
      </c>
      <c r="C4" s="23" t="s">
        <v>23</v>
      </c>
      <c r="D4" s="28">
        <v>0.5</v>
      </c>
    </row>
    <row r="5" spans="1:4" x14ac:dyDescent="0.3">
      <c r="A5" t="str">
        <f t="shared" si="0"/>
        <v>CONSERVADOR-HÍBRIDOS</v>
      </c>
      <c r="B5" t="s">
        <v>28</v>
      </c>
      <c r="C5" s="23" t="s">
        <v>24</v>
      </c>
      <c r="D5" s="28">
        <v>0.1</v>
      </c>
    </row>
    <row r="6" spans="1:4" x14ac:dyDescent="0.3">
      <c r="A6" t="str">
        <f t="shared" si="0"/>
        <v>CONSERVADOR-FOFs</v>
      </c>
      <c r="B6" t="s">
        <v>28</v>
      </c>
      <c r="C6" s="23" t="s">
        <v>25</v>
      </c>
      <c r="D6" s="28">
        <v>0.1</v>
      </c>
    </row>
    <row r="7" spans="1:4" x14ac:dyDescent="0.3">
      <c r="A7" t="str">
        <f t="shared" si="0"/>
        <v>CONSERVADOR-DESENVOLVIMENTO</v>
      </c>
      <c r="B7" t="s">
        <v>28</v>
      </c>
      <c r="C7" s="23" t="s">
        <v>26</v>
      </c>
      <c r="D7" s="28">
        <v>0</v>
      </c>
    </row>
    <row r="8" spans="1:4" x14ac:dyDescent="0.3">
      <c r="A8" s="29" t="str">
        <f t="shared" si="0"/>
        <v>CONSERVADOR-HOTELARIA</v>
      </c>
      <c r="B8" s="29" t="s">
        <v>28</v>
      </c>
      <c r="C8" s="30" t="s">
        <v>27</v>
      </c>
      <c r="D8" s="31">
        <v>0</v>
      </c>
    </row>
    <row r="9" spans="1:4" x14ac:dyDescent="0.3">
      <c r="A9" t="str">
        <f t="shared" si="0"/>
        <v>MODERADO-PAPEL</v>
      </c>
      <c r="B9" t="s">
        <v>29</v>
      </c>
      <c r="C9" s="23" t="s">
        <v>22</v>
      </c>
      <c r="D9" s="28">
        <v>0.32</v>
      </c>
    </row>
    <row r="10" spans="1:4" x14ac:dyDescent="0.3">
      <c r="A10" t="str">
        <f t="shared" si="0"/>
        <v>MODERADO-TIJOLO</v>
      </c>
      <c r="B10" t="s">
        <v>29</v>
      </c>
      <c r="C10" s="23" t="s">
        <v>23</v>
      </c>
      <c r="D10" s="28">
        <v>0.35</v>
      </c>
    </row>
    <row r="11" spans="1:4" x14ac:dyDescent="0.3">
      <c r="A11" t="str">
        <f t="shared" si="0"/>
        <v>MODERADO-HÍBRIDOS</v>
      </c>
      <c r="B11" t="s">
        <v>29</v>
      </c>
      <c r="C11" s="23" t="s">
        <v>24</v>
      </c>
      <c r="D11" s="28">
        <v>0.08</v>
      </c>
    </row>
    <row r="12" spans="1:4" x14ac:dyDescent="0.3">
      <c r="A12" t="str">
        <f t="shared" si="0"/>
        <v>MODERADO-FOFs</v>
      </c>
      <c r="B12" t="s">
        <v>29</v>
      </c>
      <c r="C12" s="23" t="s">
        <v>25</v>
      </c>
      <c r="D12" s="28">
        <v>0.05</v>
      </c>
    </row>
    <row r="13" spans="1:4" x14ac:dyDescent="0.3">
      <c r="A13" t="str">
        <f t="shared" si="0"/>
        <v>MODERADO-DESENVOLVIMENTO</v>
      </c>
      <c r="B13" t="s">
        <v>29</v>
      </c>
      <c r="C13" s="23" t="s">
        <v>26</v>
      </c>
      <c r="D13" s="32">
        <v>0.1</v>
      </c>
    </row>
    <row r="14" spans="1:4" x14ac:dyDescent="0.3">
      <c r="A14" s="29" t="str">
        <f t="shared" si="0"/>
        <v>MODERADO-HOTELARIA</v>
      </c>
      <c r="B14" s="29" t="s">
        <v>29</v>
      </c>
      <c r="C14" s="30" t="s">
        <v>27</v>
      </c>
      <c r="D14" s="31">
        <v>0.1</v>
      </c>
    </row>
    <row r="15" spans="1:4" x14ac:dyDescent="0.3">
      <c r="A15" t="str">
        <f t="shared" si="0"/>
        <v>AGRESSIVO-PAPEL</v>
      </c>
      <c r="B15" t="s">
        <v>32</v>
      </c>
      <c r="C15" s="23" t="s">
        <v>22</v>
      </c>
      <c r="D15" s="28">
        <v>0.5</v>
      </c>
    </row>
    <row r="16" spans="1:4" x14ac:dyDescent="0.3">
      <c r="A16" t="str">
        <f t="shared" si="0"/>
        <v>AGRESSIVO-TIJOLO</v>
      </c>
      <c r="B16" t="s">
        <v>32</v>
      </c>
      <c r="C16" s="23" t="s">
        <v>23</v>
      </c>
      <c r="D16" s="28">
        <v>0.1</v>
      </c>
    </row>
    <row r="17" spans="1:4" x14ac:dyDescent="0.3">
      <c r="A17" t="str">
        <f t="shared" si="0"/>
        <v>AGRESSIVO-HÍBRIDOS</v>
      </c>
      <c r="B17" t="s">
        <v>32</v>
      </c>
      <c r="C17" s="23" t="s">
        <v>24</v>
      </c>
      <c r="D17" s="28">
        <v>0.1</v>
      </c>
    </row>
    <row r="18" spans="1:4" x14ac:dyDescent="0.3">
      <c r="A18" t="str">
        <f t="shared" si="0"/>
        <v>AGRESSIVO-FOFs</v>
      </c>
      <c r="B18" t="s">
        <v>32</v>
      </c>
      <c r="C18" s="23" t="s">
        <v>25</v>
      </c>
      <c r="D18" s="28">
        <v>0.05</v>
      </c>
    </row>
    <row r="19" spans="1:4" x14ac:dyDescent="0.3">
      <c r="A19" t="str">
        <f t="shared" si="0"/>
        <v>AGRESSIVO-DESENVOLVIMENTO</v>
      </c>
      <c r="B19" t="s">
        <v>32</v>
      </c>
      <c r="C19" s="23" t="s">
        <v>26</v>
      </c>
      <c r="D19" s="28">
        <v>0.15</v>
      </c>
    </row>
    <row r="20" spans="1:4" x14ac:dyDescent="0.3">
      <c r="A20" t="str">
        <f t="shared" si="0"/>
        <v>AGRESSIVO-HOTELARIA</v>
      </c>
      <c r="B20" t="s">
        <v>32</v>
      </c>
      <c r="C20" s="23" t="s">
        <v>27</v>
      </c>
      <c r="D20" s="2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19</vt:i4>
      </vt:variant>
    </vt:vector>
  </HeadingPairs>
  <TitlesOfParts>
    <vt:vector size="22" baseType="lpstr">
      <vt:lpstr>Simulador</vt:lpstr>
      <vt:lpstr>Viver de Renda</vt:lpstr>
      <vt:lpstr>Apoio</vt:lpstr>
      <vt:lpstr>ano_dica</vt:lpstr>
      <vt:lpstr>aporte</vt:lpstr>
      <vt:lpstr>aporte_dica</vt:lpstr>
      <vt:lpstr>dividendo_dica</vt:lpstr>
      <vt:lpstr>gastos_fixos</vt:lpstr>
      <vt:lpstr>lazer</vt:lpstr>
      <vt:lpstr>montante</vt:lpstr>
      <vt:lpstr>patrimonio</vt:lpstr>
      <vt:lpstr>patrimonio_dica</vt:lpstr>
      <vt:lpstr>qtd_ano</vt:lpstr>
      <vt:lpstr>rendimento_carteira</vt:lpstr>
      <vt:lpstr>rendimento_carteira2</vt:lpstr>
      <vt:lpstr>reserva_emergencia</vt:lpstr>
      <vt:lpstr>salario</vt:lpstr>
      <vt:lpstr>salario_mensal</vt:lpstr>
      <vt:lpstr>sugestao_investimento</vt:lpstr>
      <vt:lpstr>taxa_dica</vt:lpstr>
      <vt:lpstr>taxa_mensal</vt:lpstr>
      <vt:lpstr>valor_investimento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Aparecida dos Santos Leite</dc:creator>
  <cp:lastModifiedBy>Nadia Aparecida dos Santos Leite</cp:lastModifiedBy>
  <dcterms:created xsi:type="dcterms:W3CDTF">2026-07-21T21:29:57Z</dcterms:created>
  <dcterms:modified xsi:type="dcterms:W3CDTF">2026-07-23T01:41:19Z</dcterms:modified>
</cp:coreProperties>
</file>